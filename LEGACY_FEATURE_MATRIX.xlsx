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f1f1efe18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Matrix" sheetId="1" r:id="Rbfa1a8fe23db46cf"/>
    <x:sheet xmlns:r="http://schemas.openxmlformats.org/officeDocument/2006/relationships" name="Summary" sheetId="2" r:id="R388377187e27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9"/>
      <x:color rgb="FF334E68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0"/>
      <x:color rgb="FF16324F"/>
      <x:name val="Carlito"/>
    </x:font>
    <x:font>
      <x:b/>
      <x:sz val="11"/>
      <x:color rgb="FF16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8"/>
      </x:patternFill>
    </x:fill>
    <x:fill>
      <x:patternFill patternType="solid">
        <x:fgColor rgb="FF2D6A8A"/>
      </x:patternFill>
    </x:fill>
    <x:fill>
      <x:patternFill patternType="solid">
        <x:fgColor rgb="FFD9EAF2"/>
      </x:patternFill>
    </x:fill>
  </x:fills>
  <x:borders count="4">
    <x:border/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color rgb="FF8A4B08"/>
      </x:font>
      <x:fill>
        <x:patternFill patternType="solid">
          <x:bgColor rgb="FFFFF4C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c9aa30e8b4619" /><Relationship Type="http://schemas.openxmlformats.org/officeDocument/2006/relationships/theme" Target="/xl/theme/theme1.xml" Id="R4da2b95a3bbe4174" /><Relationship Type="http://schemas.openxmlformats.org/officeDocument/2006/relationships/sharedStrings" Target="/xl/sharedStrings.xml" Id="Ra6d0d44964d74fb4" /><Relationship Type="http://schemas.openxmlformats.org/officeDocument/2006/relationships/worksheet" Target="/xl/worksheets/sheet1.xml" Id="Rbfa1a8fe23db46cf" /><Relationship Type="http://schemas.openxmlformats.org/officeDocument/2006/relationships/worksheet" Target="/xl/worksheets/sheet2.xml" Id="R388377187e274201" /></Relationships>
</file>

<file path=xl/tables/table1.xml><?xml version="1.0" encoding="utf-8"?>
<x:table xmlns:x="http://schemas.openxmlformats.org/spreadsheetml/2006/main" id="1" name="LegacyFeatureMatrix" displayName="LegacyFeatureMatrix" ref="A4:F97" headerRowCount="1">
  <x:autoFilter ref="A4:F97"/>
  <x:tableColumns count="6">
    <x:tableColumn id="1" name="Feature"/>
    <x:tableColumn id="2" name="Module"/>
    <x:tableColumn id="3" name="Description"/>
    <x:tableColumn id="4" name="Used In Production"/>
    <x:tableColumn id="5" name="Criticality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9d3112f12144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0" hidden="0" customWidth="1"/>
    <x:col min="3" max="3" width="48" hidden="0" customWidth="1"/>
    <x:col min="4" max="4" width="18" hidden="0" customWidth="1"/>
    <x:col min="5" max="5" width="13" hidden="0" customWidth="1"/>
    <x:col min="6" max="6" width="54" hidden="0" customWidth="1"/>
  </x:cols>
  <x:sheetData>
    <x:row r="1" ht="30" customHeight="1">
      <x:c r="A1" s="3" t="str">
        <x:v>Legacy Portal Feature Matrix</x:v>
      </x:c>
      <x:c r="B1" s="3"/>
      <x:c r="C1" s="3"/>
      <x:c r="D1" s="3"/>
      <x:c r="E1" s="3"/>
      <x:c r="F1" s="3"/>
    </x:row>
    <x:row r="2" ht="34" customHeight="1">
      <x:c r="A2" s="6" t="str">
        <x:v>Static inventory prepared from routes, models, views, forms, commands, templates and tests on 2026-06-20. “Used In Production” is evidence-based, not telemetry-confirmed.</x:v>
      </x:c>
      <x:c r="B2" s="6"/>
      <x:c r="C2" s="6"/>
      <x:c r="D2" s="6"/>
      <x:c r="E2" s="6"/>
      <x:c r="F2" s="6"/>
    </x:row>
    <x:row r="4" ht="26" customHeight="1">
      <x:c r="A4" s="9" t="str">
        <x:v>Feature</x:v>
      </x:c>
      <x:c r="B4" s="9" t="str">
        <x:v>Module</x:v>
      </x:c>
      <x:c r="C4" s="9" t="str">
        <x:v>Description</x:v>
      </x:c>
      <x:c r="D4" s="9" t="str">
        <x:v>Used In Production</x:v>
      </x:c>
      <x:c r="E4" s="9" t="str">
        <x:v>Criticality</x:v>
      </x:c>
      <x:c r="F4" s="9" t="str">
        <x:v>Notes</x:v>
      </x:c>
    </x:row>
    <x:row r="5">
      <x:c r="A5" s="16" t="str">
        <x:v>Password login and session authentication</x:v>
      </x:c>
      <x:c r="B5" s="13" t="str">
        <x:v>Authentication</x:v>
      </x:c>
      <x:c r="C5" s="13" t="str">
        <x:v>Legacy Django and SPA/API session login</x:v>
      </x:c>
      <x:c r="D5" s="19" t="str">
        <x:v>Yes</x:v>
      </x:c>
      <x:c r="E5" s="19" t="str">
        <x:v>Critical</x:v>
      </x:c>
      <x:c r="F5" s="13" t="str">
        <x:v>Two parallel login surfaces; consolidate in target.</x:v>
      </x:c>
    </x:row>
    <x:row r="6">
      <x:c r="A6" s="17" t="str">
        <x:v>OTP login</x:v>
      </x:c>
      <x:c r="B6" s="14" t="str">
        <x:v>Authentication</x:v>
      </x:c>
      <x:c r="C6" s="14" t="str">
        <x:v>SMS OTP send and verify login flow</x:v>
      </x:c>
      <x:c r="D6" s="20" t="str">
        <x:v>Likely</x:v>
      </x:c>
      <x:c r="E6" s="20" t="str">
        <x:v>High</x:v>
      </x:c>
      <x:c r="F6" s="14" t="str">
        <x:v>No rate-limit or attempt ledger identified.</x:v>
      </x:c>
    </x:row>
    <x:row r="7">
      <x:c r="A7" s="17" t="str">
        <x:v>Forced password change</x:v>
      </x:c>
      <x:c r="B7" s="14" t="str">
        <x:v>Authentication</x:v>
      </x:c>
      <x:c r="C7" s="14" t="str">
        <x:v>Imported/default-password users must change password</x:v>
      </x:c>
      <x:c r="D7" s="20" t="str">
        <x:v>Yes</x:v>
      </x:c>
      <x:c r="E7" s="20" t="str">
        <x:v>High</x:v>
      </x:c>
      <x:c r="F7" s="14" t="str">
        <x:v>Preserve forced-change concept; do not preserve identifier-derived passwords.</x:v>
      </x:c>
    </x:row>
    <x:row r="8">
      <x:c r="A8" s="17" t="str">
        <x:v>Password reset email</x:v>
      </x:c>
      <x:c r="B8" s="14" t="str">
        <x:v>Authentication</x:v>
      </x:c>
      <x:c r="C8" s="14" t="str">
        <x:v>Tokenized reset workflow</x:v>
      </x:c>
      <x:c r="D8" s="20" t="str">
        <x:v>Yes</x:v>
      </x:c>
      <x:c r="E8" s="20" t="str">
        <x:v>High</x:v>
      </x:c>
      <x:c r="F8" s="14" t="str">
        <x:v>Standard Django flow.</x:v>
      </x:c>
    </x:row>
    <x:row r="9">
      <x:c r="A9" s="17" t="str">
        <x:v>Branch management</x:v>
      </x:c>
      <x:c r="B9" s="14" t="str">
        <x:v>Hierarchy</x:v>
      </x:c>
      <x:c r="C9" s="14" t="str">
        <x:v>CRUD branches and attach RMs/investors</x:v>
      </x:c>
      <x:c r="D9" s="20" t="str">
        <x:v>Yes</x:v>
      </x:c>
      <x:c r="E9" s="20" t="str">
        <x:v>Medium</x:v>
      </x:c>
      <x:c r="F9" s="14" t="str">
        <x:v>Admin-only.</x:v>
      </x:c>
    </x:row>
    <x:row r="10">
      <x:c r="A10" s="17" t="str">
        <x:v>RM management</x:v>
      </x:c>
      <x:c r="B10" s="14" t="str">
        <x:v>Hierarchy</x:v>
      </x:c>
      <x:c r="C10" s="14" t="str">
        <x:v>CRUD and bulk import relationship managers</x:v>
      </x:c>
      <x:c r="D10" s="20" t="str">
        <x:v>Yes</x:v>
      </x:c>
      <x:c r="E10" s="20" t="str">
        <x:v>High</x:v>
      </x:c>
      <x:c r="F10" s="14" t="str">
        <x:v>Includes branch and operational bank/contact data.</x:v>
      </x:c>
    </x:row>
    <x:row r="11">
      <x:c r="A11" s="17" t="str">
        <x:v>Distributor management</x:v>
      </x:c>
      <x:c r="B11" s="14" t="str">
        <x:v>Hierarchy</x:v>
      </x:c>
      <x:c r="C11" s="14" t="str">
        <x:v>CRUD/import distributors with ARN, EUIN and broker codes</x:v>
      </x:c>
      <x:c r="D11" s="20" t="str">
        <x:v>Yes</x:v>
      </x:c>
      <x:c r="E11" s="20" t="str">
        <x:v>Critical</x:v>
      </x:c>
      <x:c r="F11" s="14" t="str">
        <x:v>Supports parent distributor field and approval state.</x:v>
      </x:c>
    </x:row>
    <x:row r="12">
      <x:c r="A12" s="17" t="str">
        <x:v>Sub-distributor hierarchy</x:v>
      </x:c>
      <x:c r="B12" s="14" t="str">
        <x:v>Hierarchy</x:v>
      </x:c>
      <x:c r="C12" s="14" t="str">
        <x:v>Parent/child distributor relationship</x:v>
      </x:c>
      <x:c r="D12" s="20" t="str">
        <x:v>Partial</x:v>
      </x:c>
      <x:c r="E12" s="20" t="str">
        <x:v>Medium</x:v>
      </x:c>
      <x:c r="F12" s="14" t="str">
        <x:v>Modeled, but descendant access and pass-through payout are inconsistent.</x:v>
      </x:c>
    </x:row>
    <x:row r="13">
      <x:c r="A13" s="17" t="str">
        <x:v>Investor hierarchy assignment</x:v>
      </x:c>
      <x:c r="B13" s="14" t="str">
        <x:v>Hierarchy</x:v>
      </x:c>
      <x:c r="C13" s="14" t="str">
        <x:v>Map investor to distributor, RM and branch</x:v>
      </x:c>
      <x:c r="D13" s="20" t="str">
        <x:v>Yes</x:v>
      </x:c>
      <x:c r="E13" s="20" t="str">
        <x:v>Critical</x:v>
      </x:c>
      <x:c r="F13" s="14" t="str">
        <x:v>Multiple nullable paths can diverge.</x:v>
      </x:c>
    </x:row>
    <x:row r="14">
      <x:c r="A14" s="17" t="str">
        <x:v>Investor onboarding wizard</x:v>
      </x:c>
      <x:c r="B14" s="14" t="str">
        <x:v>Investor Management</x:v>
      </x:c>
      <x:c r="C14" s="14" t="str">
        <x:v>Create detailed investor, banks and nominees</x:v>
      </x:c>
      <x:c r="D14" s="20" t="str">
        <x:v>Yes</x:v>
      </x:c>
      <x:c r="E14" s="20" t="str">
        <x:v>Critical</x:v>
      </x:c>
      <x:c r="F14" s="14" t="str">
        <x:v>Core BSE-ready workflow.</x:v>
      </x:c>
    </x:row>
    <x:row r="15">
      <x:c r="A15" s="17" t="str">
        <x:v>Investor bulk import</x:v>
      </x:c>
      <x:c r="B15" s="14" t="str">
        <x:v>Investor Management</x:v>
      </x:c>
      <x:c r="C15" s="14" t="str">
        <x:v>CSV import with header normalization and row errors</x:v>
      </x:c>
      <x:c r="D15" s="20" t="str">
        <x:v>Yes</x:v>
      </x:c>
      <x:c r="E15" s="20" t="str">
        <x:v>High</x:v>
      </x:c>
      <x:c r="F15" s="14" t="str">
        <x:v>Can create partial records; uses forced password change.</x:v>
      </x:c>
    </x:row>
    <x:row r="16">
      <x:c r="A16" s="17" t="str">
        <x:v>Joint applicant data</x:v>
      </x:c>
      <x:c r="B16" s="14" t="str">
        <x:v>Investor Management</x:v>
      </x:c>
      <x:c r="C16" s="14" t="str">
        <x:v>Second/third applicant identity and declarations</x:v>
      </x:c>
      <x:c r="D16" s="20" t="str">
        <x:v>Yes</x:v>
      </x:c>
      <x:c r="E16" s="20" t="str">
        <x:v>High</x:v>
      </x:c>
      <x:c r="F16" s="14" t="str">
        <x:v>Feeds BSE client payload.</x:v>
      </x:c>
    </x:row>
    <x:row r="17">
      <x:c r="A17" s="17" t="str">
        <x:v>Minor/guardian onboarding</x:v>
      </x:c>
      <x:c r="B17" s="14" t="str">
        <x:v>Investor Management</x:v>
      </x:c>
      <x:c r="C17" s="14" t="str">
        <x:v>Guardian and minor tax-status workflow</x:v>
      </x:c>
      <x:c r="D17" s="20" t="str">
        <x:v>Yes</x:v>
      </x:c>
      <x:c r="E17" s="20" t="str">
        <x:v>High</x:v>
      </x:c>
      <x:c r="F17" s="14" t="str">
        <x:v>Validated in form and BSE readiness.</x:v>
      </x:c>
    </x:row>
    <x:row r="18">
      <x:c r="A18" s="17" t="str">
        <x:v>NRI onboarding fields</x:v>
      </x:c>
      <x:c r="B18" s="14" t="str">
        <x:v>Investor Management</x:v>
      </x:c>
      <x:c r="C18" s="14" t="str">
        <x:v>Foreign address and NRI tax status support</x:v>
      </x:c>
      <x:c r="D18" s="20" t="str">
        <x:v>Yes</x:v>
      </x:c>
      <x:c r="E18" s="20" t="str">
        <x:v>High</x:v>
      </x:c>
      <x:c r="F18" s="14" t="str">
        <x:v>BSE readiness enforces key fields.</x:v>
      </x:c>
    </x:row>
    <x:row r="19">
      <x:c r="A19" s="17" t="str">
        <x:v>Demat investor data</x:v>
      </x:c>
      <x:c r="B19" s="14" t="str">
        <x:v>Investor Management</x:v>
      </x:c>
      <x:c r="C19" s="14" t="str">
        <x:v>Depository, DP and client identifiers</x:v>
      </x:c>
      <x:c r="D19" s="20" t="str">
        <x:v>Yes</x:v>
      </x:c>
      <x:c r="E19" s="20" t="str">
        <x:v>Medium</x:v>
      </x:c>
      <x:c r="F19" s="14" t="str">
        <x:v>BSE readiness validation.</x:v>
      </x:c>
    </x:row>
    <x:row r="20">
      <x:c r="A20" s="17" t="str">
        <x:v>Bank account management</x:v>
      </x:c>
      <x:c r="B20" s="14" t="str">
        <x:v>Investor Management</x:v>
      </x:c>
      <x:c r="C20" s="14" t="str">
        <x:v>Multiple investor bank accounts and default account</x:v>
      </x:c>
      <x:c r="D20" s="20" t="str">
        <x:v>Yes</x:v>
      </x:c>
      <x:c r="E20" s="20" t="str">
        <x:v>Critical</x:v>
      </x:c>
      <x:c r="F20" s="14" t="str">
        <x:v>BSE slot/index uniqueness.</x:v>
      </x:c>
    </x:row>
    <x:row r="21">
      <x:c r="A21" s="17" t="str">
        <x:v>Nominee management</x:v>
      </x:c>
      <x:c r="B21" s="14" t="str">
        <x:v>Investor Management</x:v>
      </x:c>
      <x:c r="C21" s="14" t="str">
        <x:v>Multiple nominees, allocation and guardians</x:v>
      </x:c>
      <x:c r="D21" s="20" t="str">
        <x:v>Yes</x:v>
      </x:c>
      <x:c r="E21" s="20" t="str">
        <x:v>Critical</x:v>
      </x:c>
      <x:c r="F21" s="14" t="str">
        <x:v>Percentages must total 100%.</x:v>
      </x:c>
    </x:row>
    <x:row r="22">
      <x:c r="A22" s="17" t="str">
        <x:v>Document storage</x:v>
      </x:c>
      <x:c r="B22" s="14" t="str">
        <x:v>Investor Management</x:v>
      </x:c>
      <x:c r="C22" s="14" t="str">
        <x:v>Investor KYC/supporting document uploads</x:v>
      </x:c>
      <x:c r="D22" s="20" t="str">
        <x:v>Likely</x:v>
      </x:c>
      <x:c r="E22" s="20" t="str">
        <x:v>Medium</x:v>
      </x:c>
      <x:c r="F22" s="14" t="str">
        <x:v>Model and inline workflow exist.</x:v>
      </x:c>
    </x:row>
    <x:row r="23">
      <x:c r="A23" s="17" t="str">
        <x:v>PAN format and uniqueness</x:v>
      </x:c>
      <x:c r="B23" s="14" t="str">
        <x:v>Validation</x:v>
      </x:c>
      <x:c r="C23" s="14" t="str">
        <x:v>Regex plus User/Profile duplicate prevention</x:v>
      </x:c>
      <x:c r="D23" s="20" t="str">
        <x:v>Yes</x:v>
      </x:c>
      <x:c r="E23" s="20" t="str">
        <x:v>Critical</x:v>
      </x:c>
      <x:c r="F23" s="14" t="str">
        <x:v>Production learning to preserve.</x:v>
      </x:c>
    </x:row>
    <x:row r="24">
      <x:c r="A24" s="17" t="str">
        <x:v>BSE readiness validation</x:v>
      </x:c>
      <x:c r="B24" s="14" t="str">
        <x:v>Validation</x:v>
      </x:c>
      <x:c r="C24" s="14" t="str">
        <x:v>Pre-UCC check of identity, address, bank, NRI, demat and nominee data</x:v>
      </x:c>
      <x:c r="D24" s="20" t="str">
        <x:v>Yes</x:v>
      </x:c>
      <x:c r="E24" s="20" t="str">
        <x:v>Critical</x:v>
      </x:c>
      <x:c r="F24" s="14" t="str">
        <x:v>One of the most valuable validation sets.</x:v>
      </x:c>
    </x:row>
    <x:row r="25">
      <x:c r="A25" s="17" t="str">
        <x:v>CVL PAN inquiry</x:v>
      </x:c>
      <x:c r="B25" s="14" t="str">
        <x:v>KYC</x:v>
      </x:c>
      <x:c r="C25" s="14" t="str">
        <x:v>SOAP PAN/KRA status lookup</x:v>
      </x:c>
      <x:c r="D25" s="20" t="str">
        <x:v>Likely</x:v>
      </x:c>
      <x:c r="E25" s="20" t="str">
        <x:v>High</x:v>
      </x:c>
      <x:c r="F25" s="14" t="str">
        <x:v>Operational tool.</x:v>
      </x:c>
    </x:row>
    <x:row r="26">
      <x:c r="A26" s="17" t="str">
        <x:v>BSE PAN search</x:v>
      </x:c>
      <x:c r="B26" s="14" t="str">
        <x:v>KYC</x:v>
      </x:c>
      <x:c r="C26" s="14" t="str">
        <x:v>BSE AOF PAN status/name search</x:v>
      </x:c>
      <x:c r="D26" s="20" t="str">
        <x:v>Likely</x:v>
      </x:c>
      <x:c r="E26" s="20" t="str">
        <x:v>Medium</x:v>
      </x:c>
      <x:c r="F26" s="14" t="str">
        <x:v>Client operation and tool wiring.</x:v>
      </x:c>
    </x:row>
    <x:row r="27">
      <x:c r="A27" s="17" t="str">
        <x:v>NDML KYC registration</x:v>
      </x:c>
      <x:c r="B27" s="14" t="str">
        <x:v>KYC</x:v>
      </x:c>
      <x:c r="C27" s="14" t="str">
        <x:v>Build and submit NDML registration XML</x:v>
      </x:c>
      <x:c r="D27" s="20" t="str">
        <x:v>Likely</x:v>
      </x:c>
      <x:c r="E27" s="20" t="str">
        <x:v>High</x:v>
      </x:c>
      <x:c r="F27" s="14" t="str">
        <x:v>Large provider-specific payload with fixed defaults.</x:v>
      </x:c>
    </x:row>
    <x:row r="28">
      <x:c r="A28" s="17" t="str">
        <x:v>NDML KYC inquiry/download</x:v>
      </x:c>
      <x:c r="B28" s="14" t="str">
        <x:v>KYC</x:v>
      </x:c>
      <x:c r="C28" s="14" t="str">
        <x:v>Inquiry and download KYC details</x:v>
      </x:c>
      <x:c r="D28" s="20" t="str">
        <x:v>Likely</x:v>
      </x:c>
      <x:c r="E28" s="20" t="str">
        <x:v>High</x:v>
      </x:c>
      <x:c r="F28" s="14" t="str">
        <x:v>Status-list operations.</x:v>
      </x:c>
    </x:row>
    <x:row r="29">
      <x:c r="A29" s="17" t="str">
        <x:v>NDML KYC modification</x:v>
      </x:c>
      <x:c r="B29" s="14" t="str">
        <x:v>KYC</x:v>
      </x:c>
      <x:c r="C29" s="14" t="str">
        <x:v>Submit modification XML</x:v>
      </x:c>
      <x:c r="D29" s="20" t="str">
        <x:v>Likely</x:v>
      </x:c>
      <x:c r="E29" s="20" t="str">
        <x:v>High</x:v>
      </x:c>
      <x:c r="F29" s="14" t="str">
        <x:v>Operations tool.</x:v>
      </x:c>
    </x:row>
    <x:row r="30">
      <x:c r="A30" s="17" t="str">
        <x:v>Manual local KYC toggle</x:v>
      </x:c>
      <x:c r="B30" s="14" t="str">
        <x:v>KYC</x:v>
      </x:c>
      <x:c r="C30" s="14" t="str">
        <x:v>Toggle local verified/pending flag</x:v>
      </x:c>
      <x:c r="D30" s="20" t="str">
        <x:v>Yes</x:v>
      </x:c>
      <x:c r="E30" s="20" t="str">
        <x:v>Low</x:v>
      </x:c>
      <x:c r="F30" s="14" t="str">
        <x:v>Do not migrate as authoritative KYC truth.</x:v>
      </x:c>
    </x:row>
    <x:row r="31">
      <x:c r="A31" s="17" t="str">
        <x:v>BSE UCC creation/modification</x:v>
      </x:c>
      <x:c r="B31" s="14" t="str">
        <x:v>BSE Integration</x:v>
      </x:c>
      <x:c r="C31" s="14" t="str">
        <x:v>Register NEW/MOD client via V183 JSON API</x:v>
      </x:c>
      <x:c r="D31" s="20" t="str">
        <x:v>Yes</x:v>
      </x:c>
      <x:c r="E31" s="20" t="str">
        <x:v>Critical</x:v>
      </x:c>
      <x:c r="F31" s="14" t="str">
        <x:v>Stores UCC and BSE remarks.</x:v>
      </x:c>
    </x:row>
    <x:row r="32">
      <x:c r="A32" s="17" t="str">
        <x:v>FATCA upload</x:v>
      </x:c>
      <x:c r="B32" s="14" t="str">
        <x:v>BSE Integration</x:v>
      </x:c>
      <x:c r="C32" s="14" t="str">
        <x:v>Submit FATCA through MFAPI flag 01</x:v>
      </x:c>
      <x:c r="D32" s="20" t="str">
        <x:v>Yes</x:v>
      </x:c>
      <x:c r="E32" s="20" t="str">
        <x:v>High</x:v>
      </x:c>
      <x:c r="F32" s="14" t="str">
        <x:v>Investor-detail action.</x:v>
      </x:c>
    </x:row>
    <x:row r="33">
      <x:c r="A33" s="17" t="str">
        <x:v>Nominee authentication guard</x:v>
      </x:c>
      <x:c r="B33" s="14" t="str">
        <x:v>Compliance</x:v>
      </x:c>
      <x:c r="C33" s="14" t="str">
        <x:v>Block orders/SIP/switch while opted nomination auth is pending</x:v>
      </x:c>
      <x:c r="D33" s="20" t="str">
        <x:v>Yes</x:v>
      </x:c>
      <x:c r="E33" s="20" t="str">
        <x:v>Critical</x:v>
      </x:c>
      <x:c r="F33" s="14" t="str">
        <x:v>Important production compliance rule.</x:v>
      </x:c>
    </x:row>
    <x:row r="34">
      <x:c r="A34" s="17" t="str">
        <x:v>Nominee opt-out/flag update</x:v>
      </x:c>
      <x:c r="B34" s="14" t="str">
        <x:v>Compliance</x:v>
      </x:c>
      <x:c r="C34" s="14" t="str">
        <x:v>Modify UCC and update BSE nominee flag</x:v>
      </x:c>
      <x:c r="D34" s="20" t="str">
        <x:v>Yes</x:v>
      </x:c>
      <x:c r="E34" s="20" t="str">
        <x:v>High</x:v>
      </x:c>
      <x:c r="F34" s="14" t="str">
        <x:v>Includes bulk correction command.</x:v>
      </x:c>
    </x:row>
    <x:row r="35">
      <x:c r="A35" s="17" t="str">
        <x:v>AMC master</x:v>
      </x:c>
      <x:c r="B35" s="14" t="str">
        <x:v>Products</x:v>
      </x:c>
      <x:c r="C35" s="14" t="str">
        <x:v>Maintain AMC names and active state</x:v>
      </x:c>
      <x:c r="D35" s="20" t="str">
        <x:v>Yes</x:v>
      </x:c>
      <x:c r="E35" s="20" t="str">
        <x:v>High</x:v>
      </x:c>
      <x:c r="F35" s="14" t="str">
        <x:v>Core scheme dependency.</x:v>
      </x:c>
    </x:row>
    <x:row r="36">
      <x:c r="A36" s="17" t="str">
        <x:v>Scheme master import</x:v>
      </x:c>
      <x:c r="B36" s="14" t="str">
        <x:v>Products</x:v>
      </x:c>
      <x:c r="C36" s="14" t="str">
        <x:v>Import BSE scheme eligibility and transaction rules</x:v>
      </x:c>
      <x:c r="D36" s="20" t="str">
        <x:v>Yes</x:v>
      </x:c>
      <x:c r="E36" s="20" t="str">
        <x:v>Critical</x:v>
      </x:c>
      <x:c r="F36" s="14" t="str">
        <x:v>Multiple source/import paths exist.</x:v>
      </x:c>
    </x:row>
    <x:row r="37">
      <x:c r="A37" s="17" t="str">
        <x:v>BSE/RTA/AMFI scheme mapping</x:v>
      </x:c>
      <x:c r="B37" s="14" t="str">
        <x:v>Products</x:v>
      </x:c>
      <x:c r="C37" s="14" t="str">
        <x:v>Canonical mapping across external identifiers</x:v>
      </x:c>
      <x:c r="D37" s="20" t="str">
        <x:v>Yes</x:v>
      </x:c>
      <x:c r="E37" s="20" t="str">
        <x:v>Critical</x:v>
      </x:c>
      <x:c r="F37" s="14" t="str">
        <x:v>Essential to reconciliation.</x:v>
      </x:c>
    </x:row>
    <x:row r="38">
      <x:c r="A38" s="17" t="str">
        <x:v>Scheme explorer</x:v>
      </x:c>
      <x:c r="B38" s="14" t="str">
        <x:v>Products</x:v>
      </x:c>
      <x:c r="C38" s="14" t="str">
        <x:v>Search/filter products and show detail/performance</x:v>
      </x:c>
      <x:c r="D38" s="20" t="str">
        <x:v>Yes</x:v>
      </x:c>
      <x:c r="E38" s="20" t="str">
        <x:v>Medium</x:v>
      </x:c>
      <x:c r="F38" s="14" t="str">
        <x:v>Authenticated user feature.</x:v>
      </x:c>
    </x:row>
    <x:row r="39">
      <x:c r="A39" s="17" t="str">
        <x:v>Scheme enrichment</x:v>
      </x:c>
      <x:c r="B39" s="14" t="str">
        <x:v>Products</x:v>
      </x:c>
      <x:c r="C39" s="14" t="str">
        <x:v>Managers, holdings, sectors, assets and ratios</x:v>
      </x:c>
      <x:c r="D39" s="20" t="str">
        <x:v>Partial</x:v>
      </x:c>
      <x:c r="E39" s="20" t="str">
        <x:v>Medium</x:v>
      </x:c>
      <x:c r="F39" s="14" t="str">
        <x:v>Manual sync commands; operational schedule not shown.</x:v>
      </x:c>
    </x:row>
    <x:row r="40">
      <x:c r="A40" s="17" t="str">
        <x:v>Daily AMFI NAV update</x:v>
      </x:c>
      <x:c r="B40" s="14" t="str">
        <x:v>Products</x:v>
      </x:c>
      <x:c r="C40" s="14" t="str">
        <x:v>Fetch and store scheme NAVs</x:v>
      </x:c>
      <x:c r="D40" s="20" t="str">
        <x:v>Yes</x:v>
      </x:c>
      <x:c r="E40" s="20" t="str">
        <x:v>Critical</x:v>
      </x:c>
      <x:c r="F40" s="14" t="str">
        <x:v>Included in daily job.</x:v>
      </x:c>
    </x:row>
    <x:row r="41">
      <x:c r="A41" s="17" t="str">
        <x:v>Historical NAV import</x:v>
      </x:c>
      <x:c r="B41" s="14" t="str">
        <x:v>Products</x:v>
      </x:c>
      <x:c r="C41" s="14" t="str">
        <x:v>Backfill history from external API</x:v>
      </x:c>
      <x:c r="D41" s="20" t="str">
        <x:v>Manual</x:v>
      </x:c>
      <x:c r="E41" s="20" t="str">
        <x:v>Medium</x:v>
      </x:c>
      <x:c r="F41" s="14" t="str">
        <x:v>Manual/rate-sensitive utility.</x:v>
      </x:c>
    </x:row>
    <x:row r="42">
      <x:c r="A42" s="17" t="str">
        <x:v>Purchase order</x:v>
      </x:c>
      <x:c r="B42" s="14" t="str">
        <x:v>Transactions</x:v>
      </x:c>
      <x:c r="C42" s="14" t="str">
        <x:v>Place BSE purchase with amount and folio selection</x:v>
      </x:c>
      <x:c r="D42" s="20" t="str">
        <x:v>Yes</x:v>
      </x:c>
      <x:c r="E42" s="20" t="str">
        <x:v>Critical</x:v>
      </x:c>
      <x:c r="F42" s="14" t="str">
        <x:v>No internal maker-checker.</x:v>
      </x:c>
    </x:row>
    <x:row r="43">
      <x:c r="A43" s="17" t="str">
        <x:v>Redemption by amount</x:v>
      </x:c>
      <x:c r="B43" s="14" t="str">
        <x:v>Transactions</x:v>
      </x:c>
      <x:c r="C43" s="14" t="str">
        <x:v>Redeem against cached holding value</x:v>
      </x:c>
      <x:c r="D43" s="20" t="str">
        <x:v>Yes</x:v>
      </x:c>
      <x:c r="E43" s="20" t="str">
        <x:v>Critical</x:v>
      </x:c>
      <x:c r="F43" s="14" t="str">
        <x:v>Does not enforce every scheme master rule.</x:v>
      </x:c>
    </x:row>
    <x:row r="44">
      <x:c r="A44" s="17" t="str">
        <x:v>Redemption by units/all</x:v>
      </x:c>
      <x:c r="B44" s="14" t="str">
        <x:v>Transactions</x:v>
      </x:c>
      <x:c r="C44" s="14" t="str">
        <x:v>Unit or all-unit redemption</x:v>
      </x:c>
      <x:c r="D44" s="20" t="str">
        <x:v>Yes</x:v>
      </x:c>
      <x:c r="E44" s="20" t="str">
        <x:v>Critical</x:v>
      </x:c>
      <x:c r="F44" s="14" t="str">
        <x:v>Holding access and quantity checks.</x:v>
      </x:c>
    </x:row>
    <x:row r="45">
      <x:c r="A45" s="17" t="str">
        <x:v>Switch by amount/units/all</x:v>
      </x:c>
      <x:c r="B45" s="14" t="str">
        <x:v>Transactions</x:v>
      </x:c>
      <x:c r="C45" s="14" t="str">
        <x:v>Same-AMC BSE switch</x:v>
      </x:c>
      <x:c r="D45" s="20" t="str">
        <x:v>Yes</x:v>
      </x:c>
      <x:c r="E45" s="20" t="str">
        <x:v>High</x:v>
      </x:c>
      <x:c r="F45" s="14" t="str">
        <x:v>Single local order represents a two-leg event.</x:v>
      </x:c>
    </x:row>
    <x:row r="46">
      <x:c r="A46" s="17" t="str">
        <x:v>Order book</x:v>
      </x:c>
      <x:c r="B46" s="14" t="str">
        <x:v>Transactions</x:v>
      </x:c>
      <x:c r="C46" s="14" t="str">
        <x:v>Role-scoped orders, statuses and exports</x:v>
      </x:c>
      <x:c r="D46" s="20" t="str">
        <x:v>Yes</x:v>
      </x:c>
      <x:c r="E46" s="20" t="str">
        <x:v>Critical</x:v>
      </x:c>
      <x:c r="F46" s="14" t="str">
        <x:v>CSV/XLSX/PDF.</x:v>
      </x:c>
    </x:row>
    <x:row r="47">
      <x:c r="A47" s="17" t="str">
        <x:v>Scheme transaction limits</x:v>
      </x:c>
      <x:c r="B47" s="14" t="str">
        <x:v>Validation</x:v>
      </x:c>
      <x:c r="C47" s="14" t="str">
        <x:v>Min/max purchase from scheme master</x:v>
      </x:c>
      <x:c r="D47" s="20" t="str">
        <x:v>Yes</x:v>
      </x:c>
      <x:c r="E47" s="20" t="str">
        <x:v>High</x:v>
      </x:c>
      <x:c r="F47" s="14" t="str">
        <x:v>Redemption multiples/cutoffs not fully enforced.</x:v>
      </x:c>
    </x:row>
    <x:row r="48">
      <x:c r="A48" s="17" t="str">
        <x:v>Risk/exposure controls</x:v>
      </x:c>
      <x:c r="B48" s="14" t="str">
        <x:v>Validation</x:v>
      </x:c>
      <x:c r="C48" s="14" t="str">
        <x:v>Investor/product exposure and suitability limits</x:v>
      </x:c>
      <x:c r="D48" s="20" t="str">
        <x:v>No evidence</x:v>
      </x:c>
      <x:c r="E48" s="20" t="str">
        <x:v>Critical</x:v>
      </x:c>
      <x:c r="F48" s="14" t="str">
        <x:v>Architecture/tech-debt gap; no risk engine found.</x:v>
      </x:c>
    </x:row>
    <x:row r="49">
      <x:c r="A49" s="17" t="str">
        <x:v>Maker-checker approvals</x:v>
      </x:c>
      <x:c r="B49" s="14" t="str">
        <x:v>Transactions</x:v>
      </x:c>
      <x:c r="C49" s="14" t="str">
        <x:v>Internal order approval before BSE</x:v>
      </x:c>
      <x:c r="D49" s="20" t="str">
        <x:v>No evidence</x:v>
      </x:c>
      <x:c r="E49" s="20" t="str">
        <x:v>High</x:v>
      </x:c>
      <x:c r="F49" s="14" t="str">
        <x:v>External BSE states only.</x:v>
      </x:c>
    </x:row>
    <x:row r="50">
      <x:c r="A50" s="17" t="str">
        <x:v>Large order splitting</x:v>
      </x:c>
      <x:c r="B50" s="14" t="str">
        <x:v>Transactions</x:v>
      </x:c>
      <x:c r="C50" s="14" t="str">
        <x:v>Split orders based on exchange/AMC rules</x:v>
      </x:c>
      <x:c r="D50" s="20" t="str">
        <x:v>No evidence</x:v>
      </x:c>
      <x:c r="E50" s="20" t="str">
        <x:v>Medium</x:v>
      </x:c>
      <x:c r="F50" s="14" t="str">
        <x:v>Documented gap.</x:v>
      </x:c>
    </x:row>
    <x:row r="51">
      <x:c r="A51" s="17" t="str">
        <x:v>Mandate registration</x:v>
      </x:c>
      <x:c r="B51" s="14" t="str">
        <x:v>Mandates</x:v>
      </x:c>
      <x:c r="C51" s="14" t="str">
        <x:v>Register e-mandate via MFAPI flag 06</x:v>
      </x:c>
      <x:c r="D51" s="20" t="str">
        <x:v>Yes</x:v>
      </x:c>
      <x:c r="E51" s="20" t="str">
        <x:v>Critical</x:v>
      </x:c>
      <x:c r="F51" s="14" t="str">
        <x:v>TEMP ID enables retry.</x:v>
      </x:c>
    </x:row>
    <x:row r="52">
      <x:c r="A52" s="17" t="str">
        <x:v>Mandate authorization URL</x:v>
      </x:c>
      <x:c r="B52" s="14" t="str">
        <x:v>Mandates</x:v>
      </x:c>
      <x:c r="C52" s="14" t="str">
        <x:v>Generate BSE bank authorization redirect</x:v>
      </x:c>
      <x:c r="D52" s="20" t="str">
        <x:v>Yes</x:v>
      </x:c>
      <x:c r="E52" s="20" t="str">
        <x:v>Critical</x:v>
      </x:c>
      <x:c r="F52" s="14" t="str">
        <x:v>HTTP API currently disables TLS verification.</x:v>
      </x:c>
    </x:row>
    <x:row r="53">
      <x:c r="A53" s="17" t="str">
        <x:v>Mandate status tracking</x:v>
      </x:c>
      <x:c r="B53" s="14" t="str">
        <x:v>Mandates</x:v>
      </x:c>
      <x:c r="C53" s="14" t="str">
        <x:v>Poll and map approved/rejected state</x:v>
      </x:c>
      <x:c r="D53" s="20" t="str">
        <x:v>Yes</x:v>
      </x:c>
      <x:c r="E53" s="20" t="str">
        <x:v>Critical</x:v>
      </x:c>
      <x:c r="F53" s="14" t="str">
        <x:v>Triggered from investor detail sync.</x:v>
      </x:c>
    </x:row>
    <x:row r="54">
      <x:c r="A54" s="17" t="str">
        <x:v>Mandate retry</x:v>
      </x:c>
      <x:c r="B54" s="14" t="str">
        <x:v>Mandates</x:v>
      </x:c>
      <x:c r="C54" s="14" t="str">
        <x:v>Retry pending temporary submissions</x:v>
      </x:c>
      <x:c r="D54" s="20" t="str">
        <x:v>Yes</x:v>
      </x:c>
      <x:c r="E54" s="20" t="str">
        <x:v>High</x:v>
      </x:c>
      <x:c r="F54" s="14" t="str">
        <x:v>Operational recovery feature.</x:v>
      </x:c>
    </x:row>
    <x:row r="55">
      <x:c r="A55" s="17" t="str">
        <x:v>XSIP registration</x:v>
      </x:c>
      <x:c r="B55" s="14" t="str">
        <x:v>SIP</x:v>
      </x:c>
      <x:c r="C55" s="14" t="str">
        <x:v>Register systematic plan with approved mandate</x:v>
      </x:c>
      <x:c r="D55" s="20" t="str">
        <x:v>Yes</x:v>
      </x:c>
      <x:c r="E55" s="20" t="str">
        <x:v>Critical</x:v>
      </x:c>
      <x:c r="F55" s="14" t="str">
        <x:v>Creates SIP and registration Order.</x:v>
      </x:c>
    </x:row>
    <x:row r="56">
      <x:c r="A56" s="17" t="str">
        <x:v>SIP installment schedule</x:v>
      </x:c>
      <x:c r="B56" s="14" t="str">
        <x:v>SIP</x:v>
      </x:c>
      <x:c r="C56" s="14" t="str">
        <x:v>Generate expected installment records</x:v>
      </x:c>
      <x:c r="D56" s="20" t="str">
        <x:v>Yes</x:v>
      </x:c>
      <x:c r="E56" s="20" t="str">
        <x:v>High</x:v>
      </x:c>
      <x:c r="F56" s="14" t="str">
        <x:v>Backfill command included.</x:v>
      </x:c>
    </x:row>
    <x:row r="57">
      <x:c r="A57" s="17" t="str">
        <x:v>BSE child order sync</x:v>
      </x:c>
      <x:c r="B57" s="14" t="str">
        <x:v>SIP</x:v>
      </x:c>
      <x:c r="C57" s="14" t="str">
        <x:v>Create local purchase Orders from XSIP child orders</x:v>
      </x:c>
      <x:c r="D57" s="20" t="str">
        <x:v>Yes</x:v>
      </x:c>
      <x:c r="E57" s="20" t="str">
        <x:v>High</x:v>
      </x:c>
      <x:c r="F57" s="14" t="str">
        <x:v>Can occur during dashboard/detail sync.</x:v>
      </x:c>
    </x:row>
    <x:row r="58">
      <x:c r="A58" s="17" t="str">
        <x:v>SIP RTA reconciliation</x:v>
      </x:c>
      <x:c r="B58" s="14" t="str">
        <x:v>SIP</x:v>
      </x:c>
      <x:c r="C58" s="14" t="str">
        <x:v>Link actual transactions to expected installments</x:v>
      </x:c>
      <x:c r="D58" s="20" t="str">
        <x:v>Partial</x:v>
      </x:c>
      <x:c r="E58" s="20" t="str">
        <x:v>High</x:v>
      </x:c>
      <x:c r="F58" s="14" t="str">
        <x:v>Command exists; schedule not in daily batch.</x:v>
      </x:c>
    </x:row>
    <x:row r="59">
      <x:c r="A59" s="17" t="str">
        <x:v>SIP lifecycle statuses</x:v>
      </x:c>
      <x:c r="B59" s="14" t="str">
        <x:v>SIP</x:v>
      </x:c>
      <x:c r="C59" s="14" t="str">
        <x:v>Upcoming, triggered, success/failure and master status</x:v>
      </x:c>
      <x:c r="D59" s="20" t="str">
        <x:v>Partial</x:v>
      </x:c>
      <x:c r="E59" s="20" t="str">
        <x:v>High</x:v>
      </x:c>
      <x:c r="F59" s="14" t="str">
        <x:v>Commands exist; external scheduling incomplete.</x:v>
      </x:c>
    </x:row>
    <x:row r="60">
      <x:c r="A60" s="17" t="str">
        <x:v>SIP SMS reminders</x:v>
      </x:c>
      <x:c r="B60" s="14" t="str">
        <x:v>Notifications</x:v>
      </x:c>
      <x:c r="C60" s="14" t="str">
        <x:v>Send upcoming installment alert</x:v>
      </x:c>
      <x:c r="D60" s="20" t="str">
        <x:v>Manual</x:v>
      </x:c>
      <x:c r="E60" s="20" t="str">
        <x:v>Medium</x:v>
      </x:c>
      <x:c r="F60" s="14" t="str">
        <x:v>Command exists but is not in visible scheduler.</x:v>
      </x:c>
    </x:row>
    <x:row r="61">
      <x:c r="A61" s="17" t="str">
        <x:v>BSE order status sync</x:v>
      </x:c>
      <x:c r="B61" s="14" t="str">
        <x:v>Reconciliation</x:v>
      </x:c>
      <x:c r="C61" s="14" t="str">
        <x:v>Update local orders from BSE reports</x:v>
      </x:c>
      <x:c r="D61" s="20" t="str">
        <x:v>Yes</x:v>
      </x:c>
      <x:c r="E61" s="20" t="str">
        <x:v>Critical</x:v>
      </x:c>
      <x:c r="F61" s="14" t="str">
        <x:v>Daily and page-triggered paths.</x:v>
      </x:c>
    </x:row>
    <x:row r="62">
      <x:c r="A62" s="17" t="str">
        <x:v>BSE provisional transactions</x:v>
      </x:c>
      <x:c r="B62" s="14" t="str">
        <x:v>Reconciliation</x:v>
      </x:c>
      <x:c r="C62" s="14" t="str">
        <x:v>Create provisional allotment/redemption ledger rows</x:v>
      </x:c>
      <x:c r="D62" s="20" t="str">
        <x:v>Yes</x:v>
      </x:c>
      <x:c r="E62" s="20" t="str">
        <x:v>Critical</x:v>
      </x:c>
      <x:c r="F62" s="14" t="str">
        <x:v>RTA-confirmed rows have precedence.</x:v>
      </x:c>
    </x:row>
    <x:row r="63">
      <x:c r="A63" s="17" t="str">
        <x:v>RTA email ingestion</x:v>
      </x:c>
      <x:c r="B63" s="14" t="str">
        <x:v>Reconciliation</x:v>
      </x:c>
      <x:c r="C63" s="14" t="str">
        <x:v>Fetch and archive CAMS/KFintech email attachments</x:v>
      </x:c>
      <x:c r="D63" s="20" t="str">
        <x:v>Yes</x:v>
      </x:c>
      <x:c r="E63" s="20" t="str">
        <x:v>Critical</x:v>
      </x:c>
      <x:c r="F63" s="14" t="str">
        <x:v>Included in daily jobs.</x:v>
      </x:c>
    </x:row>
    <x:row r="64">
      <x:c r="A64" s="17" t="str">
        <x:v>Manual RTA file upload</x:v>
      </x:c>
      <x:c r="B64" s="14" t="str">
        <x:v>Reconciliation</x:v>
      </x:c>
      <x:c r="C64" s="14" t="str">
        <x:v>Upload and process supported RTA files</x:v>
      </x:c>
      <x:c r="D64" s="20" t="str">
        <x:v>Yes</x:v>
      </x:c>
      <x:c r="E64" s="20" t="str">
        <x:v>Critical</x:v>
      </x:c>
      <x:c r="F64" s="14" t="str">
        <x:v>Raw background thread.</x:v>
      </x:c>
    </x:row>
    <x:row r="65">
      <x:c r="A65" s="17" t="str">
        <x:v>RTA parser registry</x:v>
      </x:c>
      <x:c r="B65" s="14" t="str">
        <x:v>Reconciliation</x:v>
      </x:c>
      <x:c r="C65" s="14" t="str">
        <x:v>Select CAMS/Karvy/Franklin parser by file/source</x:v>
      </x:c>
      <x:c r="D65" s="20" t="str">
        <x:v>Yes</x:v>
      </x:c>
      <x:c r="E65" s="20" t="str">
        <x:v>Critical</x:v>
      </x:c>
      <x:c r="F65" s="14" t="str">
        <x:v>Source-specific production knowledge.</x:v>
      </x:c>
    </x:row>
    <x:row r="66">
      <x:c r="A66" s="17" t="str">
        <x:v>Transaction fingerprint deduplication</x:v>
      </x:c>
      <x:c r="B66" s="14" t="str">
        <x:v>Reconciliation</x:v>
      </x:c>
      <x:c r="C66" s="14" t="str">
        <x:v>Prevent duplicate imported transactions</x:v>
      </x:c>
      <x:c r="D66" s="20" t="str">
        <x:v>Yes</x:v>
      </x:c>
      <x:c r="E66" s="20" t="str">
        <x:v>Critical</x:v>
      </x:c>
      <x:c r="F66" s="14" t="str">
        <x:v>Core data-integrity control.</x:v>
      </x:c>
    </x:row>
    <x:row r="67">
      <x:c r="A67" s="17" t="str">
        <x:v>Failed RTA record queue</x:v>
      </x:c>
      <x:c r="B67" s="14" t="str">
        <x:v>Reconciliation</x:v>
      </x:c>
      <x:c r="C67" s="14" t="str">
        <x:v>Persist and retry unmapped/bad source rows</x:v>
      </x:c>
      <x:c r="D67" s="20" t="str">
        <x:v>Yes</x:v>
      </x:c>
      <x:c r="E67" s="20" t="str">
        <x:v>Critical</x:v>
      </x:c>
      <x:c r="F67" s="14" t="str">
        <x:v>Important operational recovery tool.</x:v>
      </x:c>
    </x:row>
    <x:row r="68">
      <x:c r="A68" s="17" t="str">
        <x:v>Order reconciliation confidence</x:v>
      </x:c>
      <x:c r="B68" s="14" t="str">
        <x:v>Reconciliation</x:v>
      </x:c>
      <x:c r="C68" s="14" t="str">
        <x:v>Store match score/details between order and transaction</x:v>
      </x:c>
      <x:c r="D68" s="20" t="str">
        <x:v>Partial</x:v>
      </x:c>
      <x:c r="E68" s="20" t="str">
        <x:v>Medium</x:v>
      </x:c>
      <x:c r="F68" s="14" t="str">
        <x:v>Model exists; engine/task includes placeholders.</x:v>
      </x:c>
    </x:row>
    <x:row r="69">
      <x:c r="A69" s="17" t="str">
        <x:v>Holding recalculation</x:v>
      </x:c>
      <x:c r="B69" s="14" t="str">
        <x:v>Portfolio</x:v>
      </x:c>
      <x:c r="C69" s="14" t="str">
        <x:v>Derive units/cost/value by investor, scheme and folio</x:v>
      </x:c>
      <x:c r="D69" s="20" t="str">
        <x:v>Yes</x:v>
      </x:c>
      <x:c r="E69" s="20" t="str">
        <x:v>Critical</x:v>
      </x:c>
      <x:c r="F69" s="14" t="str">
        <x:v>Driven by BSE/RTA impacts.</x:v>
      </x:c>
    </x:row>
    <x:row r="70">
      <x:c r="A70" s="17" t="str">
        <x:v>Folio management</x:v>
      </x:c>
      <x:c r="B70" s="14" t="str">
        <x:v>Portfolio</x:v>
      </x:c>
      <x:c r="C70" s="14" t="str">
        <x:v>Normalize investor/AMC folios and capture new allotment folios</x:v>
      </x:c>
      <x:c r="D70" s="20" t="str">
        <x:v>Yes</x:v>
      </x:c>
      <x:c r="E70" s="20" t="str">
        <x:v>Critical</x:v>
      </x:c>
      <x:c r="F70" s="14" t="str">
        <x:v>Folio strings are also duplicated in source tables.</x:v>
      </x:c>
    </x:row>
    <x:row r="71">
      <x:c r="A71" s="17" t="str">
        <x:v>Portfolio dashboard</x:v>
      </x:c>
      <x:c r="B71" s="14" t="str">
        <x:v>Portfolio</x:v>
      </x:c>
      <x:c r="C71" s="14" t="str">
        <x:v>AUM, invested/current value, gains and allocation</x:v>
      </x:c>
      <x:c r="D71" s="20" t="str">
        <x:v>Yes</x:v>
      </x:c>
      <x:c r="E71" s="20" t="str">
        <x:v>Critical</x:v>
      </x:c>
      <x:c r="F71" s="14" t="str">
        <x:v>Role-scoped.</x:v>
      </x:c>
    </x:row>
    <x:row r="72">
      <x:c r="A72" s="17" t="str">
        <x:v>Folio detail</x:v>
      </x:c>
      <x:c r="B72" s="14" t="str">
        <x:v>Portfolio</x:v>
      </x:c>
      <x:c r="C72" s="14" t="str">
        <x:v>Per-folio valuation, transactions and SIP amount</x:v>
      </x:c>
      <x:c r="D72" s="20" t="str">
        <x:v>Yes</x:v>
      </x:c>
      <x:c r="E72" s="20" t="str">
        <x:v>High</x:v>
      </x:c>
      <x:c r="F72" s="14" t="str">
        <x:v>Useful drill-down.</x:v>
      </x:c>
    </x:row>
    <x:row r="73">
      <x:c r="A73" s="17" t="str">
        <x:v>Wealth report PDF</x:v>
      </x:c>
      <x:c r="B73" s="14" t="str">
        <x:v>Reports</x:v>
      </x:c>
      <x:c r="C73" s="14" t="str">
        <x:v>Consolidated investor portfolio report</x:v>
      </x:c>
      <x:c r="D73" s="20" t="str">
        <x:v>Yes</x:v>
      </x:c>
      <x:c r="E73" s="20" t="str">
        <x:v>High</x:v>
      </x:c>
      <x:c r="F73" s="14" t="str">
        <x:v>Validate financial calculations in target.</x:v>
      </x:c>
    </x:row>
    <x:row r="74">
      <x:c r="A74" s="17" t="str">
        <x:v>P&amp;L report PDF</x:v>
      </x:c>
      <x:c r="B74" s="14" t="str">
        <x:v>Reports</x:v>
      </x:c>
      <x:c r="C74" s="14" t="str">
        <x:v>Investor profit/loss report</x:v>
      </x:c>
      <x:c r="D74" s="20" t="str">
        <x:v>Yes</x:v>
      </x:c>
      <x:c r="E74" s="20" t="str">
        <x:v>High</x:v>
      </x:c>
      <x:c r="F74" s="14" t="str">
        <x:v>Generator contains approximation comments.</x:v>
      </x:c>
    </x:row>
    <x:row r="75">
      <x:c r="A75" s="17" t="str">
        <x:v>Capital gain report PDF</x:v>
      </x:c>
      <x:c r="B75" s="14" t="str">
        <x:v>Reports</x:v>
      </x:c>
      <x:c r="C75" s="14" t="str">
        <x:v>Short/long-term gain report</x:v>
      </x:c>
      <x:c r="D75" s="20" t="str">
        <x:v>Yes</x:v>
      </x:c>
      <x:c r="E75" s="20" t="str">
        <x:v>Critical</x:v>
      </x:c>
      <x:c r="F75" s="14" t="str">
        <x:v>Do not migrate calculation until certified.</x:v>
      </x:c>
    </x:row>
    <x:row r="76">
      <x:c r="A76" s="17" t="str">
        <x:v>Transaction statement PDF</x:v>
      </x:c>
      <x:c r="B76" s="14" t="str">
        <x:v>Reports</x:v>
      </x:c>
      <x:c r="C76" s="14" t="str">
        <x:v>Investor transaction history</x:v>
      </x:c>
      <x:c r="D76" s="20" t="str">
        <x:v>Yes</x:v>
      </x:c>
      <x:c r="E76" s="20" t="str">
        <x:v>High</x:v>
      </x:c>
      <x:c r="F76" s="14" t="str">
        <x:v>Date-filtered.</x:v>
      </x:c>
    </x:row>
    <x:row r="77">
      <x:c r="A77" s="17" t="str">
        <x:v>Investor/mandate/order reports</x:v>
      </x:c>
      <x:c r="B77" s="14" t="str">
        <x:v>Reports</x:v>
      </x:c>
      <x:c r="C77" s="14" t="str">
        <x:v>Role-scoped Grid.js operational reports</x:v>
      </x:c>
      <x:c r="D77" s="20" t="str">
        <x:v>Yes</x:v>
      </x:c>
      <x:c r="E77" s="20" t="str">
        <x:v>High</x:v>
      </x:c>
      <x:c r="F77" s="14" t="str">
        <x:v>CSV/XLSX exports.</x:v>
      </x:c>
    </x:row>
    <x:row r="78">
      <x:c r="A78" s="17" t="str">
        <x:v>BSE status/allotment/redemption reports</x:v>
      </x:c>
      <x:c r="B78" s="14" t="str">
        <x:v>Reports</x:v>
      </x:c>
      <x:c r="C78" s="14" t="str">
        <x:v>Live BSE date-range reports</x:v>
      </x:c>
      <x:c r="D78" s="20" t="str">
        <x:v>Yes</x:v>
      </x:c>
      <x:c r="E78" s="20" t="str">
        <x:v>High</x:v>
      </x:c>
      <x:c r="F78" s="14" t="str">
        <x:v>External-call dependency.</x:v>
      </x:c>
    </x:row>
    <x:row r="79">
      <x:c r="A79" s="17" t="str">
        <x:v>Master reports</x:v>
      </x:c>
      <x:c r="B79" s="14" t="str">
        <x:v>Reports</x:v>
      </x:c>
      <x:c r="C79" s="14" t="str">
        <x:v>Distributor, RM, scheme, bank and nominee extracts</x:v>
      </x:c>
      <x:c r="D79" s="20" t="str">
        <x:v>Yes</x:v>
      </x:c>
      <x:c r="E79" s="20" t="str">
        <x:v>High</x:v>
      </x:c>
      <x:c r="F79" s="14" t="str">
        <x:v>Broad operational field coverage.</x:v>
      </x:c>
    </x:row>
    <x:row r="80">
      <x:c r="A80" s="17" t="str">
        <x:v>Brokerage monthly import</x:v>
      </x:c>
      <x:c r="B80" s="14" t="str">
        <x:v>Payouts</x:v>
      </x:c>
      <x:c r="C80" s="14" t="str">
        <x:v>Import CAMS DBF/Karvy CSV once per month</x:v>
      </x:c>
      <x:c r="D80" s="20" t="str">
        <x:v>Yes</x:v>
      </x:c>
      <x:c r="E80" s="20" t="str">
        <x:v>Critical</x:v>
      </x:c>
      <x:c r="F80" s="14" t="str">
        <x:v>Admin workflow.</x:v>
      </x:c>
    </x:row>
    <x:row r="81">
      <x:c r="A81" s="17" t="str">
        <x:v>Brokerage row mapping</x:v>
      </x:c>
      <x:c r="B81" s="14" t="str">
        <x:v>Payouts</x:v>
      </x:c>
      <x:c r="C81" s="14" t="str">
        <x:v>Map source rows to distributor and scheme</x:v>
      </x:c>
      <x:c r="D81" s="20" t="str">
        <x:v>Yes</x:v>
      </x:c>
      <x:c r="E81" s="20" t="str">
        <x:v>Critical</x:v>
      </x:c>
      <x:c r="F81" s="14" t="str">
        <x:v>Preserves raw data and remarks.</x:v>
      </x:c>
    </x:row>
    <x:row r="82">
      <x:c r="A82" s="17" t="str">
        <x:v>Folio-distributor override mapping</x:v>
      </x:c>
      <x:c r="B82" s="14" t="str">
        <x:v>Payouts</x:v>
      </x:c>
      <x:c r="C82" s="14" t="str">
        <x:v>Manual CSV repair master for attribution</x:v>
      </x:c>
      <x:c r="D82" s="20" t="str">
        <x:v>Yes</x:v>
      </x:c>
      <x:c r="E82" s="20" t="str">
        <x:v>Critical</x:v>
      </x:c>
      <x:c r="F82" s="14" t="str">
        <x:v>Unique legacy operational capability.</x:v>
      </x:c>
    </x:row>
    <x:row r="83">
      <x:c r="A83" s="17" t="str">
        <x:v>Brokerage reprocessing</x:v>
      </x:c>
      <x:c r="B83" s="14" t="str">
        <x:v>Payouts</x:v>
      </x:c>
      <x:c r="C83" s="14" t="str">
        <x:v>Retry mapping after master corrections</x:v>
      </x:c>
      <x:c r="D83" s="20" t="str">
        <x:v>Yes</x:v>
      </x:c>
      <x:c r="E83" s="20" t="str">
        <x:v>Critical</x:v>
      </x:c>
      <x:c r="F83" s="14" t="str">
        <x:v>Recovery workflow.</x:v>
      </x:c>
    </x:row>
    <x:row r="84">
      <x:c r="A84" s="17" t="str">
        <x:v>Distributor payout categories</x:v>
      </x:c>
      <x:c r="B84" s="14" t="str">
        <x:v>Payouts</x:v>
      </x:c>
      <x:c r="C84" s="14" t="str">
        <x:v>AUM ranges and share percentage</x:v>
      </x:c>
      <x:c r="D84" s="20" t="str">
        <x:v>Yes</x:v>
      </x:c>
      <x:c r="E84" s="20" t="str">
        <x:v>High</x:v>
      </x:c>
      <x:c r="F84" s="14" t="str">
        <x:v>No overlap validation found.</x:v>
      </x:c>
    </x:row>
    <x:row r="85">
      <x:c r="A85" s="17" t="str">
        <x:v>Payout calculation</x:v>
      </x:c>
      <x:c r="B85" s="14" t="str">
        <x:v>Payouts</x:v>
      </x:c>
      <x:c r="C85" s="14" t="str">
        <x:v>Aggregate AUM/gross/share/payable by distributor</x:v>
      </x:c>
      <x:c r="D85" s="20" t="str">
        <x:v>Yes</x:v>
      </x:c>
      <x:c r="E85" s="20" t="str">
        <x:v>Critical</x:v>
      </x:c>
      <x:c r="F85" s="14" t="str">
        <x:v>No maker-checker/payment workflow.</x:v>
      </x:c>
    </x:row>
    <x:row r="86">
      <x:c r="A86" s="17" t="str">
        <x:v>Payout analytics and exports</x:v>
      </x:c>
      <x:c r="B86" s="14" t="str">
        <x:v>Payouts</x:v>
      </x:c>
      <x:c r="C86" s="14" t="str">
        <x:v>Investor/RM/distributor/AMC analysis</x:v>
      </x:c>
      <x:c r="D86" s="20" t="str">
        <x:v>Yes</x:v>
      </x:c>
      <x:c r="E86" s="20" t="str">
        <x:v>High</x:v>
      </x:c>
      <x:c r="F86" s="14" t="str">
        <x:v>XLSX exports.</x:v>
      </x:c>
    </x:row>
    <x:row r="87">
      <x:c r="A87" s="17" t="str">
        <x:v>Goal planning</x:v>
      </x:c>
      <x:c r="B87" s="14" t="str">
        <x:v>Analytics</x:v>
      </x:c>
      <x:c r="C87" s="14" t="str">
        <x:v>Target goals mapped to holdings by allocation percentage</x:v>
      </x:c>
      <x:c r="D87" s="20" t="str">
        <x:v>Yes</x:v>
      </x:c>
      <x:c r="E87" s="20" t="str">
        <x:v>Medium</x:v>
      </x:c>
      <x:c r="F87" s="14" t="str">
        <x:v>Aggregate allocation validation not found.</x:v>
      </x:c>
    </x:row>
    <x:row r="88">
      <x:c r="A88" s="17" t="str">
        <x:v>CAS upload</x:v>
      </x:c>
      <x:c r="B88" s="14" t="str">
        <x:v>Analytics</x:v>
      </x:c>
      <x:c r="C88" s="14" t="str">
        <x:v>Upload password-protected consolidated statement</x:v>
      </x:c>
      <x:c r="D88" s="20" t="str">
        <x:v>Partial</x:v>
      </x:c>
      <x:c r="E88" s="20" t="str">
        <x:v>Medium</x:v>
      </x:c>
      <x:c r="F88" s="14" t="str">
        <x:v>Runs in raw thread.</x:v>
      </x:c>
    </x:row>
    <x:row r="89">
      <x:c r="A89" s="17" t="str">
        <x:v>External holding extraction</x:v>
      </x:c>
      <x:c r="B89" s="14" t="str">
        <x:v>Analytics</x:v>
      </x:c>
      <x:c r="C89" s="14" t="str">
        <x:v>Parse CAS into off-platform holdings</x:v>
      </x:c>
      <x:c r="D89" s="20" t="str">
        <x:v>Partial</x:v>
      </x:c>
      <x:c r="E89" s="20" t="str">
        <x:v>Medium</x:v>
      </x:c>
      <x:c r="F89" s="14" t="str">
        <x:v>Parser states complex formats are placeholder-grade.</x:v>
      </x:c>
    </x:row>
    <x:row r="90">
      <x:c r="A90" s="17" t="str">
        <x:v>System configuration</x:v>
      </x:c>
      <x:c r="B90" s="14" t="str">
        <x:v>Administration</x:v>
      </x:c>
      <x:c r="C90" s="14" t="str">
        <x:v>Company, report, email, NDML and RTA settings</x:v>
      </x:c>
      <x:c r="D90" s="20" t="str">
        <x:v>Yes</x:v>
      </x:c>
      <x:c r="E90" s="20" t="str">
        <x:v>High</x:v>
      </x:c>
      <x:c r="F90" s="14" t="str">
        <x:v>Sensitive values stored in plain fields.</x:v>
      </x:c>
    </x:row>
    <x:row r="91">
      <x:c r="A91" s="17" t="str">
        <x:v>Maintenance mode</x:v>
      </x:c>
      <x:c r="B91" s="14" t="str">
        <x:v>Administration</x:v>
      </x:c>
      <x:c r="C91" s="14" t="str">
        <x:v>Redirect non-admin users to maintenance page</x:v>
      </x:c>
      <x:c r="D91" s="20" t="str">
        <x:v>Yes</x:v>
      </x:c>
      <x:c r="E91" s="20" t="str">
        <x:v>Medium</x:v>
      </x:c>
      <x:c r="F91" s="14" t="str">
        <x:v>Config-backed middleware.</x:v>
      </x:c>
    </x:row>
    <x:row r="92">
      <x:c r="A92" s="17" t="str">
        <x:v>Maintenance email</x:v>
      </x:c>
      <x:c r="B92" s="14" t="str">
        <x:v>Notifications</x:v>
      </x:c>
      <x:c r="C92" s="14" t="str">
        <x:v>Bulk email users about downtime</x:v>
      </x:c>
      <x:c r="D92" s="20" t="str">
        <x:v>Manual</x:v>
      </x:c>
      <x:c r="E92" s="20" t="str">
        <x:v>Low</x:v>
      </x:c>
      <x:c r="F92" s="14" t="str">
        <x:v>Manual command.</x:v>
      </x:c>
    </x:row>
    <x:row r="93">
      <x:c r="A93" s="17" t="str">
        <x:v>Daily job orchestration</x:v>
      </x:c>
      <x:c r="B93" s="14" t="str">
        <x:v>Automation</x:v>
      </x:c>
      <x:c r="C93" s="14" t="str">
        <x:v>BSE sync, RTA email, NAV and valuations</x:v>
      </x:c>
      <x:c r="D93" s="20" t="str">
        <x:v>Yes</x:v>
      </x:c>
      <x:c r="E93" s="20" t="str">
        <x:v>Critical</x:v>
      </x:c>
      <x:c r="F93" s="14" t="str">
        <x:v>Windows batch plus management command.</x:v>
      </x:c>
    </x:row>
    <x:row r="94">
      <x:c r="A94" s="17" t="str">
        <x:v>Durable background queue</x:v>
      </x:c>
      <x:c r="B94" s="14" t="str">
        <x:v>Automation</x:v>
      </x:c>
      <x:c r="C94" s="14" t="str">
        <x:v>Persistent retries and scheduled worker execution</x:v>
      </x:c>
      <x:c r="D94" s="20" t="str">
        <x:v>Partial</x:v>
      </x:c>
      <x:c r="E94" s="20" t="str">
        <x:v>Critical</x:v>
      </x:c>
      <x:c r="F94" s="14" t="str">
        <x:v>Celery tasks exist, but beat/worker setup is not evidenced; raw threads remain.</x:v>
      </x:c>
    </x:row>
    <x:row r="95">
      <x:c r="A95" s="17" t="str">
        <x:v>Audit trail</x:v>
      </x:c>
      <x:c r="B95" s="14" t="str">
        <x:v>Security</x:v>
      </x:c>
      <x:c r="C95" s="14" t="str">
        <x:v>Record critical user and integration actions</x:v>
      </x:c>
      <x:c r="D95" s="20" t="str">
        <x:v>No evidence</x:v>
      </x:c>
      <x:c r="E95" s="20" t="str">
        <x:v>Critical</x:v>
      </x:c>
      <x:c r="F95" s="14" t="str">
        <x:v>AuditLog model is effectively unused.</x:v>
      </x:c>
    </x:row>
    <x:row r="96">
      <x:c r="A96" s="17" t="str">
        <x:v>Role-scoped data access</x:v>
      </x:c>
      <x:c r="B96" s="14" t="str">
        <x:v>Security</x:v>
      </x:c>
      <x:c r="C96" s="14" t="str">
        <x:v>Admin/RM/distributor/investor hierarchy filtering</x:v>
      </x:c>
      <x:c r="D96" s="20" t="str">
        <x:v>Yes</x:v>
      </x:c>
      <x:c r="E96" s="20" t="str">
        <x:v>Critical</x:v>
      </x:c>
      <x:c r="F96" s="14" t="str">
        <x:v>Duplicated across views; sub-distributor semantics incomplete.</x:v>
      </x:c>
    </x:row>
    <x:row r="97">
      <x:c r="A97" s="18" t="str">
        <x:v>Django admin</x:v>
      </x:c>
      <x:c r="B97" s="15" t="str">
        <x:v>Administration</x:v>
      </x:c>
      <x:c r="C97" s="15" t="str">
        <x:v>Hidden staff CRUD/diagnostic interface</x:v>
      </x:c>
      <x:c r="D97" s="21" t="str">
        <x:v>Yes</x:v>
      </x:c>
      <x:c r="E97" s="21" t="str">
        <x:v>Medium</x:v>
      </x:c>
      <x:c r="F97" s="15" t="str">
        <x:v>Review model exposure before target migration.</x:v>
      </x:c>
    </x:row>
  </x:sheetData>
  <x:mergeCells>
    <x:mergeCell ref="A1:F1"/>
    <x:mergeCell ref="A2:F2"/>
  </x:mergeCells>
  <x:conditionalFormatting sqref="D5:D97">
    <x:cfRule type="containsText" dxfId="0" priority="1" operator="containsText" text="No evidence"/>
    <x:cfRule type="containsText" dxfId="1" priority="2" operator="containsText" text="Partial"/>
  </x:conditionalFormatting>
  <x:conditionalFormatting sqref="E5:E97">
    <x:cfRule type="containsText" dxfId="2" priority="3" operator="containsText" text="Critical"/>
  </x:conditionalFormatting>
  <x:dataValidations count="2">
    <x:dataValidation type="list" sqref="D5:D97">
      <x:formula1>"Yes,Likely,Partial,Manual,No evidence"</x:formula1>
    </x:dataValidation>
    <x:dataValidation type="list" sqref="E5:E97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9d3112f12144a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20" hidden="0" customWidth="1"/>
    <x:col min="4" max="4" width="20" hidden="0" customWidth="1"/>
  </x:cols>
  <x:sheetData>
    <x:row r="1" ht="30" customHeight="1">
      <x:c r="A1" s="2" t="str">
        <x:v>Legacy Feature Matrix Summary</x:v>
      </x:c>
      <x:c r="B1" s="2"/>
      <x:c r="C1" s="2"/>
      <x:c r="D1" s="2"/>
    </x:row>
    <x:row r="3">
      <x:c r="A3" s="8" t="str">
        <x:v>Metric</x:v>
      </x:c>
      <x:c r="B3" s="8" t="str">
        <x:v>Count</x:v>
      </x:c>
    </x:row>
    <x:row r="4">
      <x:c r="A4" s="25" t="str">
        <x:v>Total features</x:v>
      </x:c>
      <x:c r="B4" s="22" t="n">
        <x:f>COUNTA('Feature Matrix'!$A$5:$A$97)</x:f>
        <x:v>93</x:v>
      </x:c>
    </x:row>
    <x:row r="5">
      <x:c r="A5" s="26" t="str">
        <x:v>Critical</x:v>
      </x:c>
      <x:c r="B5" s="23" t="n">
        <x:f>COUNTIF('Feature Matrix'!$E$5:$E$97,"Critical")</x:f>
        <x:v>42</x:v>
      </x:c>
    </x:row>
    <x:row r="6">
      <x:c r="A6" s="26" t="str">
        <x:v>High</x:v>
      </x:c>
      <x:c r="B6" s="23" t="n">
        <x:f>COUNTIF('Feature Matrix'!$E$5:$E$97,"High")</x:f>
        <x:v>33</x:v>
      </x:c>
    </x:row>
    <x:row r="7">
      <x:c r="A7" s="26" t="str">
        <x:v>Partial</x:v>
      </x:c>
      <x:c r="B7" s="23" t="n">
        <x:f>COUNTIF('Feature Matrix'!$D$5:$D$97,"Partial")</x:f>
        <x:v>8</x:v>
      </x:c>
    </x:row>
    <x:row r="8">
      <x:c r="A8" s="27" t="str">
        <x:v>No evidence</x:v>
      </x:c>
      <x:c r="B8" s="24" t="n">
        <x:f>COUNTIF('Feature Matrix'!$D$5:$D$97,"No evidence")</x:f>
        <x:v>4</x:v>
      </x:c>
    </x:row>
    <x:row r="10">
      <x:c r="A10" s="29" t="str">
        <x:v>Recommended comparison method</x:v>
      </x:c>
      <x:c r="B10" s="29"/>
      <x:c r="C10" s="29"/>
      <x:c r="D10" s="29"/>
    </x:row>
    <x:row r="11">
      <x:c r="A11" s="31" t="str">
        <x:v>For each row compare the new platform on: (1) feature presence, (2) workflow parity, (3) validation parity, and (4) operational recovery/audit parity. Treat “No evidence” rows as gaps in the legacy platform, not migration requirements.</x:v>
      </x:c>
      <x:c r="B11" s="31"/>
      <x:c r="C11" s="31"/>
      <x:c r="D11" s="31"/>
    </x:row>
    <x:row r="12">
      <x:c r="A12" s="31"/>
      <x:c r="B12" s="31"/>
      <x:c r="C12" s="31"/>
      <x:c r="D12" s="31"/>
    </x:row>
    <x:row r="13">
      <x:c r="A13" s="31"/>
      <x:c r="B13" s="31"/>
      <x:c r="C13" s="31"/>
      <x:c r="D13" s="31"/>
    </x:row>
    <x:row r="14">
      <x:c r="A14" s="31"/>
      <x:c r="B14" s="31"/>
      <x:c r="C14" s="31"/>
      <x:c r="D14" s="31"/>
    </x:row>
  </x:sheetData>
  <x:mergeCells>
    <x:mergeCell ref="A1:D1"/>
    <x:mergeCell ref="A10:D10"/>
    <x:mergeCell ref="A11:D14"/>
  </x:mergeCells>
  <x:pageMargins left="0.7" right="0.7" top="0.75" bottom="0.75" header="0.3" footer="0.3"/>
</x:worksheet>
</file>